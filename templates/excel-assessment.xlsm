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hari\Downloads\"/>
    </mc:Choice>
  </mc:AlternateContent>
  <xr:revisionPtr revIDLastSave="0" documentId="8_{6D5BA503-6A7D-48AF-945F-94EA11AB85C8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" i="18" l="1"/>
  <c r="F30" i="18"/>
  <c r="F29" i="18"/>
  <c r="E30" i="18"/>
  <c r="E29" i="18"/>
  <c r="D30" i="18"/>
  <c r="D29" i="18"/>
  <c r="B29" i="18"/>
  <c r="B28" i="18"/>
  <c r="C29" i="18"/>
  <c r="C28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G23" i="20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B6" i="18"/>
  <c r="C6" i="18"/>
</calcChain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<sst xmlns="http://schemas.openxmlformats.org/spreadsheetml/2006/main" count="408" uniqueCount="185">
  <si>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</si>
  <si>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</si>
  <si>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</si>
  <si>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</si>
  <si>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</si>
  <si>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</si>
  <si>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</si>
  <si>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</si>
  <si>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</si>
  <si>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</si>
  <si>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</si>
  <si>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</si>
  <si>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</si>
  <si>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</si>
  <si>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</si>
  <si>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</si>
  <si>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</si>
  <si>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</si>
  <si>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</si>
  <si>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</si>
  <si>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</si>
  <si>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</si>
  <si>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</si>
  <si>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</si>
  <si>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</si>
  <si>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</si>
  <si>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</si>
  <si>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</si>
  <si>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</si>
  <si>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</si>
  <si>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</si>
  <si>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</si>
  <si>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</si>
  <si>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</si>
  <si>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</si>
  <si>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</si>
  <si>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</si>
  <si>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</si>
  <si>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</si>
  <si>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</si>
  <si>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</si>
  <si>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</si>
  <si>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</si>
  <si>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</si>
  <si>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</si>
  <si>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</si>
  <si>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</si>
  <si>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</si>
  <si>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</si>
  <si>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</si>
  <si>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</si>
  <si>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</si>
  <si>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</si>
  <si>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</si>
  <si>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</si>
  <si>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</si>
  <si>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</si>
  <si>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</si>
  <si>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</si>
  <si>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</si>
  <si>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</si>
  <si>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</si>
  <si>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</si>
  <si>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</si>
  <si>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</si>
  <si>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</si>
  <si>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</si>
  <si>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</si>
  <si>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</si>
  <si>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</si>
  <si>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</si>
  <si>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</si>
  <si>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</si>
  <si>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</si>
  <si>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</si>
  <si>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</si>
  <si>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</si>
  <si>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</si>
  <si>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</si>
  <si>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</si>
  <si>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</si>
  <si>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</si>
  <si>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</si>
  <si>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</si>
  <si>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</si>
  <si>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</si>
  <si>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</si>
  <si>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</si>
  <si>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</si>
  <si>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</si>
  <si>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</si>
  <si>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</si>
  <si>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</si>
  <si>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</si>
  <si>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</si>
  <si>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</si>
  <si>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</si>
  <si>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</si>
  <si>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</si>
  <si>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</si>
  <si>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</si>
  <si>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</si>
  <si>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</si>
  <si>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</si>
  <si>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</si>
  <si>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</si>
  <si>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</si>
  <si>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</si>
  <si>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</si>
  <si>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</si>
  <si>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</si>
  <si>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</si>
  <si>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</si>
  <si>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</si>
  <si>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</si>
  <si>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</si>
  <si>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</si>
  <si>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</si>
  <si>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</si>
  <si>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</si>
  <si>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</si>
  <si>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</si>
  <si>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</si>
  <si>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</si>
  <si>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</si>
  <si>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</si>
  <si>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</si>
  <si>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</si>
  <si>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</si>
  <si>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</si>
  <si>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</si>
  <si>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</si>
  <si>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</si>
  <si>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</si>
  <si>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</si>
  <si>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</si>
  <si>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</si>
  <si>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</si>
  <si>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</si>
  <si>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</si>
  <si>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</si>
  <si>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</si>
  <si>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</si>
  <si>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</si>
  <si>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</si>
  <si>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</si>
  <si>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</si>
  <si>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</si>
  <si>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</si>
  <si>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</si>
  <si>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</si>
  <si>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</si>
  <si>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</si>
  <si>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</si>
  <si>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</si>
  <si>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</si>
  <si>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</si>
  <si>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</si>
  <si>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</si>
  <si>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</si>
  <si>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</si>
  <si>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</si>
  <si>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</si>
  <si>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</si>
  <si>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</si>
  <si>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</si>
  <si>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</si>
  <si>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</si>
  <si>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</si>
  <si>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</si>
  <si>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</si>
  <si>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</si>
  <si>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</si>
  <si>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</si>
  <si>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</si>
  <si>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</si>
  <si>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</si>
  <si>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</si>
  <si>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# Since conditional formatting is done directly in Excel, I cannot execute that in Python.</t>
  </si>
  <si>
    <t># Calculate the sum of all values greater than 20 in column 'car2'</t>
  </si>
  <si>
    <t>sum_car2_above_20 = dataset_df[dataset_df['car2'] &gt; 20]['car2'].sum()</t>
  </si>
  <si>
    <t>sum_car2_above_20</t>
  </si>
  <si>
    <t>(sum of values greater than 20 in column 'car2')</t>
  </si>
  <si>
    <t>answer:1473.0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</si>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</sst>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000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3" fillId="0" borderId="0" xfId="0" applyFont="1" applyAlignment="1">
      <alignment horizontal="center"/>
    </xf>
    <xf numFmtId="0" fontId="3" fillId="7" borderId="0" xfId="0" applyFont="1" applyFill="1" applyAlignment="1">
      <alignment horizontal="center"/>
    </xf>
    <xf numFmtId="0" fontId="3" fillId="7" borderId="0" xfId="0" applyFont="1" applyFill="1"/>
    <xf numFmtId="0" fontId="3" fillId="8" borderId="0" xfId="0" applyFont="1" applyFill="1"/>
    <xf numFmtId="0" fontId="3" fillId="6" borderId="0" xfId="0" applyFont="1" applyFill="1"/>
    <xf numFmtId="167" fontId="3" fillId="0" borderId="0" xfId="0" applyNumberFormat="1" applyFont="1"/>
    <xf numFmtId="0" fontId="8" fillId="0" borderId="0" xfId="0" applyFont="1"/>
    <xf numFmtId="0" fontId="18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B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5" x14ac:dyDescent="0.35">
      <c r="A4" s="2" t="s">
        <v>177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169"/>
  <sheetViews>
    <sheetView zoomScaleNormal="100" workbookViewId="0">
      <pane ySplit="1" topLeftCell="A2" activePane="bottomLeft" state="frozen"/>
      <selection pane="bottomLeft" activeCell="V2" sqref="V2:V40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106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46">
        <v>-1</v>
      </c>
      <c r="K2" s="47">
        <v>-1</v>
      </c>
      <c r="L2" s="47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50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3.7</v>
      </c>
      <c r="H3" s="1">
        <v>3.6</v>
      </c>
      <c r="I3" s="1">
        <v>4.2</v>
      </c>
      <c r="J3" s="46">
        <v>-1</v>
      </c>
      <c r="K3" s="47">
        <v>-1</v>
      </c>
      <c r="L3" s="47">
        <v>-1</v>
      </c>
      <c r="M3" s="1">
        <v>5.3</v>
      </c>
      <c r="N3" s="1">
        <v>8.6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50">
        <v>45052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4.7</v>
      </c>
      <c r="H4" s="1">
        <v>5.4</v>
      </c>
      <c r="I4" s="1">
        <v>5.8</v>
      </c>
      <c r="J4" s="46">
        <v>-1</v>
      </c>
      <c r="K4" s="47">
        <v>-1</v>
      </c>
      <c r="L4" s="47">
        <v>-1</v>
      </c>
      <c r="M4" s="1">
        <v>7.6</v>
      </c>
      <c r="N4" s="1">
        <v>9.6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50">
        <v>45053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5.7</v>
      </c>
      <c r="H5" s="1">
        <v>6.6</v>
      </c>
      <c r="I5" s="1">
        <v>8.1</v>
      </c>
      <c r="J5" s="46">
        <v>-1</v>
      </c>
      <c r="K5" s="47">
        <v>-1</v>
      </c>
      <c r="L5" s="47">
        <v>-1</v>
      </c>
      <c r="M5" s="1">
        <v>10</v>
      </c>
      <c r="N5" s="1">
        <v>10.6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50">
        <v>45054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6.7</v>
      </c>
      <c r="H6" s="1">
        <v>8.8000000000000007</v>
      </c>
      <c r="I6" s="1">
        <v>11</v>
      </c>
      <c r="J6" s="46">
        <v>-1</v>
      </c>
      <c r="K6" s="47">
        <v>-1</v>
      </c>
      <c r="L6" s="47">
        <v>-1</v>
      </c>
      <c r="M6" s="1">
        <v>13.3</v>
      </c>
      <c r="N6" s="1">
        <v>11.6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50">
        <v>45055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7.7</v>
      </c>
      <c r="H7" s="1">
        <v>10.4</v>
      </c>
      <c r="I7" s="1">
        <v>12.8</v>
      </c>
      <c r="J7" s="46">
        <v>-1</v>
      </c>
      <c r="K7" s="47">
        <v>-1</v>
      </c>
      <c r="L7" s="47">
        <v>-1</v>
      </c>
      <c r="M7" s="1">
        <v>14.4</v>
      </c>
      <c r="N7" s="1">
        <v>12.6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50">
        <v>45056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8.6999999999999993</v>
      </c>
      <c r="H8" s="1">
        <v>13.8</v>
      </c>
      <c r="I8" s="1">
        <v>16.100000000000001</v>
      </c>
      <c r="J8" s="46">
        <v>-1</v>
      </c>
      <c r="K8" s="47">
        <v>-1</v>
      </c>
      <c r="L8" s="47">
        <v>-1</v>
      </c>
      <c r="M8" s="1">
        <v>19.2</v>
      </c>
      <c r="N8" s="1">
        <v>13.6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50">
        <v>45057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9.6999999999999993</v>
      </c>
      <c r="H9" s="1">
        <v>17.3</v>
      </c>
      <c r="I9" s="1">
        <v>21.3</v>
      </c>
      <c r="J9" s="46">
        <v>-1</v>
      </c>
      <c r="K9" s="47">
        <v>-1</v>
      </c>
      <c r="L9" s="47">
        <v>-1</v>
      </c>
      <c r="M9" s="1">
        <v>23.6</v>
      </c>
      <c r="N9" s="1">
        <v>14.6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50">
        <v>45058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10.7</v>
      </c>
      <c r="H10" s="1">
        <v>24.1</v>
      </c>
      <c r="I10" s="1">
        <v>29.1</v>
      </c>
      <c r="J10" s="46">
        <v>-1</v>
      </c>
      <c r="K10" s="47">
        <v>-1</v>
      </c>
      <c r="L10" s="47">
        <v>-1</v>
      </c>
      <c r="M10" s="1">
        <v>32.799999999999997</v>
      </c>
      <c r="N10" s="1">
        <v>15.6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50">
        <v>45059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11.7</v>
      </c>
      <c r="H11" s="1">
        <v>27.5</v>
      </c>
      <c r="I11" s="1">
        <v>33.799999999999997</v>
      </c>
      <c r="J11" s="46">
        <v>-1</v>
      </c>
      <c r="K11" s="47">
        <v>-1</v>
      </c>
      <c r="L11" s="47">
        <v>-1</v>
      </c>
      <c r="M11" s="1">
        <v>37.200000000000003</v>
      </c>
      <c r="N11" s="1">
        <v>16.600000000000001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50">
        <v>45060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12.7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1">
        <v>17.600000000000001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50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13.7</v>
      </c>
      <c r="H13" s="1">
        <v>32.1</v>
      </c>
      <c r="I13" s="1">
        <v>40.1</v>
      </c>
      <c r="J13" s="46">
        <v>-1</v>
      </c>
      <c r="K13" s="47">
        <v>-1</v>
      </c>
      <c r="L13" s="47">
        <v>-1</v>
      </c>
      <c r="M13" s="1">
        <v>42.3</v>
      </c>
      <c r="N13" s="1">
        <v>18.600000000000001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50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14.7</v>
      </c>
      <c r="H14" s="1">
        <v>34.700000000000003</v>
      </c>
      <c r="I14" s="1">
        <v>42.7</v>
      </c>
      <c r="J14" s="46">
        <v>-1</v>
      </c>
      <c r="K14" s="47">
        <v>-1</v>
      </c>
      <c r="L14" s="47">
        <v>-1</v>
      </c>
      <c r="M14" s="1">
        <v>47.7</v>
      </c>
      <c r="N14" s="1">
        <v>19.600000000000001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50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15.7</v>
      </c>
      <c r="H15" s="1">
        <v>39.299999999999997</v>
      </c>
      <c r="I15" s="1">
        <v>47.9</v>
      </c>
      <c r="J15" s="46">
        <v>-1</v>
      </c>
      <c r="K15" s="47">
        <v>-1</v>
      </c>
      <c r="L15" s="47">
        <v>-1</v>
      </c>
      <c r="M15" s="1">
        <v>54.6</v>
      </c>
      <c r="N15" s="1">
        <v>20.6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50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16.7</v>
      </c>
      <c r="H16" s="1">
        <v>41</v>
      </c>
      <c r="I16" s="1">
        <v>50.1</v>
      </c>
      <c r="J16" s="46">
        <v>-1</v>
      </c>
      <c r="K16" s="47">
        <v>-1</v>
      </c>
      <c r="L16" s="47">
        <v>-1</v>
      </c>
      <c r="M16" s="1">
        <v>56.7</v>
      </c>
      <c r="N16" s="1">
        <v>21.6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50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17.7</v>
      </c>
      <c r="H17" s="1">
        <v>42.3</v>
      </c>
      <c r="I17" s="1">
        <v>52.3</v>
      </c>
      <c r="J17" s="46">
        <v>-1</v>
      </c>
      <c r="K17" s="47">
        <v>-1</v>
      </c>
      <c r="L17" s="47">
        <v>-1</v>
      </c>
      <c r="M17" s="1">
        <v>58.3</v>
      </c>
      <c r="N17" s="1">
        <v>22.6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50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18.7</v>
      </c>
      <c r="H18" s="1">
        <v>43.3</v>
      </c>
      <c r="I18" s="1">
        <v>53.7</v>
      </c>
      <c r="J18" s="46">
        <v>-1</v>
      </c>
      <c r="K18" s="47">
        <v>-1</v>
      </c>
      <c r="L18" s="47">
        <v>-1</v>
      </c>
      <c r="M18" s="1">
        <v>59</v>
      </c>
      <c r="N18" s="1">
        <v>23.6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50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19.7</v>
      </c>
      <c r="H19" s="1">
        <v>45.5</v>
      </c>
      <c r="I19" s="1">
        <v>57</v>
      </c>
      <c r="J19" s="46">
        <v>-1</v>
      </c>
      <c r="K19" s="47">
        <v>-1</v>
      </c>
      <c r="L19" s="47">
        <v>-1</v>
      </c>
      <c r="M19" s="1">
        <v>62.5</v>
      </c>
      <c r="N19" s="1">
        <v>24.6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50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20.7</v>
      </c>
      <c r="H20" s="1">
        <v>50.1</v>
      </c>
      <c r="I20" s="1">
        <v>61.4</v>
      </c>
      <c r="J20" s="46">
        <v>-1</v>
      </c>
      <c r="K20" s="47">
        <v>-1</v>
      </c>
      <c r="L20" s="47">
        <v>-1</v>
      </c>
      <c r="M20" s="1">
        <v>67.900000000000006</v>
      </c>
      <c r="N20" s="1">
        <v>25.6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50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21.7</v>
      </c>
      <c r="H21" s="1">
        <v>52.3</v>
      </c>
      <c r="I21" s="1">
        <v>63.6</v>
      </c>
      <c r="J21" s="46">
        <v>-1</v>
      </c>
      <c r="K21" s="47">
        <v>-1</v>
      </c>
      <c r="L21" s="47">
        <v>-1</v>
      </c>
      <c r="M21" s="1">
        <v>70.8</v>
      </c>
      <c r="N21" s="1">
        <v>26.6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50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22.7</v>
      </c>
      <c r="H22" s="1">
        <v>54.6</v>
      </c>
      <c r="I22" s="1">
        <v>65.900000000000006</v>
      </c>
      <c r="J22" s="46">
        <v>-1</v>
      </c>
      <c r="K22" s="47">
        <v>-1</v>
      </c>
      <c r="L22" s="47">
        <v>-1</v>
      </c>
      <c r="M22" s="1">
        <v>73.900000000000006</v>
      </c>
      <c r="N22" s="1">
        <v>27.6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50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23.7</v>
      </c>
      <c r="H23" s="1">
        <v>57.2</v>
      </c>
      <c r="I23" s="1">
        <v>68.7</v>
      </c>
      <c r="J23" s="46">
        <v>-1</v>
      </c>
      <c r="K23" s="47">
        <v>-1</v>
      </c>
      <c r="L23" s="47">
        <v>-1</v>
      </c>
      <c r="M23" s="1">
        <v>76.599999999999994</v>
      </c>
      <c r="N23" s="1">
        <v>28.6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50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24.7</v>
      </c>
      <c r="H24" s="1">
        <v>59.2</v>
      </c>
      <c r="I24" s="1">
        <v>70.400000000000006</v>
      </c>
      <c r="J24" s="46">
        <v>-1</v>
      </c>
      <c r="K24" s="47">
        <v>-1</v>
      </c>
      <c r="L24" s="47">
        <v>-1</v>
      </c>
      <c r="M24" s="1">
        <v>78.599999999999994</v>
      </c>
      <c r="N24" s="1">
        <v>29.6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50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25.7</v>
      </c>
      <c r="H25" s="1">
        <v>59.2</v>
      </c>
      <c r="I25" s="1">
        <v>72.8</v>
      </c>
      <c r="J25" s="46">
        <v>-1</v>
      </c>
      <c r="K25" s="47">
        <v>-1</v>
      </c>
      <c r="L25" s="47">
        <v>-1</v>
      </c>
      <c r="M25" s="1">
        <v>80.8</v>
      </c>
      <c r="N25" s="1">
        <v>30.6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50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26.7</v>
      </c>
      <c r="H26" s="49">
        <v>0</v>
      </c>
      <c r="I26" s="49">
        <v>0</v>
      </c>
      <c r="J26" s="49">
        <v>0</v>
      </c>
      <c r="K26" s="49">
        <v>0</v>
      </c>
      <c r="L26" s="49">
        <v>0</v>
      </c>
      <c r="M26" s="49">
        <v>0</v>
      </c>
      <c r="N26" s="1">
        <v>31.6</v>
      </c>
      <c r="O26" s="49">
        <v>0</v>
      </c>
      <c r="P26" s="49">
        <v>0</v>
      </c>
      <c r="Q26" s="49">
        <v>0</v>
      </c>
      <c r="R26" s="49">
        <v>0</v>
      </c>
      <c r="S26" s="49">
        <v>0</v>
      </c>
      <c r="T26" s="49">
        <v>0</v>
      </c>
      <c r="U26" s="49">
        <v>0</v>
      </c>
      <c r="V26" s="49">
        <v>0</v>
      </c>
      <c r="W26" s="49">
        <v>0</v>
      </c>
      <c r="X26" s="50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27.7</v>
      </c>
      <c r="H27" s="1">
        <v>61.4</v>
      </c>
      <c r="I27" s="1">
        <v>75</v>
      </c>
      <c r="J27" s="46">
        <v>-1</v>
      </c>
      <c r="K27" s="47">
        <v>-1</v>
      </c>
      <c r="L27" s="47">
        <v>-1</v>
      </c>
      <c r="M27" s="1">
        <v>83.5</v>
      </c>
      <c r="N27" s="1">
        <v>32.6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50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28.7</v>
      </c>
      <c r="H28" s="1">
        <v>61.4</v>
      </c>
      <c r="I28" s="1">
        <v>75</v>
      </c>
      <c r="J28" s="46">
        <v>-1</v>
      </c>
      <c r="K28" s="47">
        <v>-1</v>
      </c>
      <c r="L28" s="47">
        <v>-1</v>
      </c>
      <c r="M28" s="1">
        <v>85.4</v>
      </c>
      <c r="N28" s="1">
        <v>33.6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50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29.7</v>
      </c>
      <c r="H29" s="1">
        <v>63.6</v>
      </c>
      <c r="I29" s="1">
        <v>77.2</v>
      </c>
      <c r="J29" s="46">
        <v>-1</v>
      </c>
      <c r="K29" s="47">
        <v>-1</v>
      </c>
      <c r="L29" s="47">
        <v>-1</v>
      </c>
      <c r="M29" s="1">
        <v>87.6</v>
      </c>
      <c r="N29" s="1">
        <v>34.6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151.5</v>
      </c>
      <c r="U29" s="1">
        <v>63.6</v>
      </c>
      <c r="V29" s="1">
        <v>77.2</v>
      </c>
      <c r="W29" s="1">
        <v>77.2</v>
      </c>
      <c r="X29" s="50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30.7</v>
      </c>
      <c r="H30" s="47">
        <v>-1</v>
      </c>
      <c r="I30" s="47">
        <v>-1</v>
      </c>
      <c r="J30" s="46">
        <v>-1</v>
      </c>
      <c r="K30" s="47">
        <v>-1</v>
      </c>
      <c r="L30" s="47">
        <v>-1</v>
      </c>
      <c r="M30" s="47">
        <v>-1</v>
      </c>
      <c r="N30" s="1">
        <v>35.6</v>
      </c>
      <c r="O30" s="47">
        <v>-1</v>
      </c>
      <c r="P30" s="47">
        <v>-1</v>
      </c>
      <c r="Q30" s="47">
        <v>-1</v>
      </c>
      <c r="R30" s="47">
        <v>-1</v>
      </c>
      <c r="S30" s="47">
        <v>-1</v>
      </c>
      <c r="T30" s="1">
        <v>151.5</v>
      </c>
      <c r="U30" s="47">
        <v>-1</v>
      </c>
      <c r="V30" s="47">
        <v>-1</v>
      </c>
      <c r="W30" s="47">
        <v>-1</v>
      </c>
      <c r="X30" s="50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31.7</v>
      </c>
      <c r="H31" s="1">
        <v>65.900000000000006</v>
      </c>
      <c r="I31" s="1">
        <v>79.400000000000006</v>
      </c>
      <c r="J31" s="46">
        <v>-1</v>
      </c>
      <c r="K31" s="47">
        <v>-1</v>
      </c>
      <c r="L31" s="47">
        <v>-1</v>
      </c>
      <c r="M31" s="1">
        <v>90.9</v>
      </c>
      <c r="N31" s="1">
        <v>36.6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151.5</v>
      </c>
      <c r="U31" s="1">
        <v>65.900000000000006</v>
      </c>
      <c r="V31" s="1">
        <v>79.400000000000006</v>
      </c>
      <c r="W31" s="1">
        <v>79.400000000000006</v>
      </c>
      <c r="X31" s="50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32.700000000000003</v>
      </c>
      <c r="H32" s="47">
        <v>-1</v>
      </c>
      <c r="I32" s="47">
        <v>-1</v>
      </c>
      <c r="J32" s="46">
        <v>-1</v>
      </c>
      <c r="K32" s="47">
        <v>-1</v>
      </c>
      <c r="L32" s="47">
        <v>-1</v>
      </c>
      <c r="M32" s="47">
        <v>-1</v>
      </c>
      <c r="N32" s="1">
        <v>37.6</v>
      </c>
      <c r="O32" s="47">
        <v>-1</v>
      </c>
      <c r="P32" s="47">
        <v>-1</v>
      </c>
      <c r="Q32" s="47">
        <v>-1</v>
      </c>
      <c r="R32" s="47">
        <v>-1</v>
      </c>
      <c r="S32" s="47">
        <v>-1</v>
      </c>
      <c r="T32" s="1">
        <v>151.5</v>
      </c>
      <c r="U32" s="47">
        <v>-1</v>
      </c>
      <c r="V32" s="47">
        <v>-1</v>
      </c>
      <c r="W32" s="47">
        <v>-1</v>
      </c>
      <c r="X32" s="50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33.700000000000003</v>
      </c>
      <c r="H33" s="1">
        <v>61.4</v>
      </c>
      <c r="I33" s="1">
        <v>75</v>
      </c>
      <c r="J33" s="46">
        <v>-1</v>
      </c>
      <c r="K33" s="47">
        <v>-1</v>
      </c>
      <c r="L33" s="47">
        <v>-1</v>
      </c>
      <c r="M33" s="1">
        <v>84.6</v>
      </c>
      <c r="N33" s="1">
        <v>38.6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50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34.700000000000003</v>
      </c>
      <c r="H34" s="1">
        <v>63.6</v>
      </c>
      <c r="I34" s="1">
        <v>79.400000000000006</v>
      </c>
      <c r="J34" s="46">
        <v>-1</v>
      </c>
      <c r="K34" s="47">
        <v>-1</v>
      </c>
      <c r="L34" s="47">
        <v>-1</v>
      </c>
      <c r="M34" s="1">
        <v>87.6</v>
      </c>
      <c r="N34" s="1">
        <v>39.6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151.5</v>
      </c>
      <c r="U34" s="1">
        <v>63.6</v>
      </c>
      <c r="V34" s="1">
        <v>79.400000000000006</v>
      </c>
      <c r="W34" s="1">
        <v>79.400000000000006</v>
      </c>
      <c r="X34" s="50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35.700000000000003</v>
      </c>
      <c r="H35" s="1">
        <v>65.900000000000006</v>
      </c>
      <c r="I35" s="1">
        <v>81.8</v>
      </c>
      <c r="J35" s="46">
        <v>-1</v>
      </c>
      <c r="K35" s="47">
        <v>-1</v>
      </c>
      <c r="L35" s="47">
        <v>-1</v>
      </c>
      <c r="M35" s="1">
        <v>89.9</v>
      </c>
      <c r="N35" s="1">
        <v>40.6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151.5</v>
      </c>
      <c r="U35" s="1">
        <v>65.900000000000006</v>
      </c>
      <c r="V35" s="1">
        <v>81.8</v>
      </c>
      <c r="W35" s="1">
        <v>81.8</v>
      </c>
      <c r="X35" s="50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36.700000000000003</v>
      </c>
      <c r="H36" s="1">
        <v>70.400000000000006</v>
      </c>
      <c r="I36" s="1">
        <v>86.4</v>
      </c>
      <c r="J36" s="46">
        <v>-1</v>
      </c>
      <c r="K36" s="47">
        <v>-1</v>
      </c>
      <c r="L36" s="47">
        <v>-1</v>
      </c>
      <c r="M36" s="1">
        <v>95.6</v>
      </c>
      <c r="N36" s="1">
        <v>41.6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151.5</v>
      </c>
      <c r="U36" s="1">
        <v>70.400000000000006</v>
      </c>
      <c r="V36" s="1">
        <v>86.4</v>
      </c>
      <c r="W36" s="1">
        <v>86.4</v>
      </c>
      <c r="X36" s="50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37.700000000000003</v>
      </c>
      <c r="H37" s="1">
        <v>72</v>
      </c>
      <c r="I37" s="1">
        <v>89</v>
      </c>
      <c r="J37" s="46">
        <v>-1</v>
      </c>
      <c r="K37" s="47">
        <v>-1</v>
      </c>
      <c r="L37" s="47">
        <v>-1</v>
      </c>
      <c r="M37" s="1">
        <v>97.9</v>
      </c>
      <c r="N37" s="1">
        <v>42.6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151.5</v>
      </c>
      <c r="U37" s="1">
        <v>72</v>
      </c>
      <c r="V37" s="1">
        <v>89</v>
      </c>
      <c r="W37" s="1">
        <v>89</v>
      </c>
      <c r="X37" s="50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38.700000000000003</v>
      </c>
      <c r="H38" s="1">
        <v>72.8</v>
      </c>
      <c r="I38" s="1">
        <v>90.9</v>
      </c>
      <c r="J38" s="46">
        <v>-1</v>
      </c>
      <c r="K38" s="47">
        <v>-1</v>
      </c>
      <c r="L38" s="47">
        <v>-1</v>
      </c>
      <c r="M38" s="1">
        <v>99.5</v>
      </c>
      <c r="N38" s="1">
        <v>43.6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50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39.700000000000003</v>
      </c>
      <c r="H39" s="1">
        <v>75</v>
      </c>
      <c r="I39" s="1">
        <v>93.1</v>
      </c>
      <c r="J39" s="46">
        <v>-1</v>
      </c>
      <c r="K39" s="47">
        <v>-1</v>
      </c>
      <c r="L39" s="47">
        <v>-1</v>
      </c>
      <c r="M39" s="1">
        <v>102.6</v>
      </c>
      <c r="N39" s="1">
        <v>44.6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50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40.700000000000003</v>
      </c>
      <c r="H40" s="1">
        <v>77.2</v>
      </c>
      <c r="I40" s="1">
        <v>93.1</v>
      </c>
      <c r="J40" s="46">
        <v>-1</v>
      </c>
      <c r="K40" s="47">
        <v>-1</v>
      </c>
      <c r="L40" s="47">
        <v>-1</v>
      </c>
      <c r="M40" s="1">
        <v>104.5</v>
      </c>
      <c r="N40" s="1">
        <v>45.6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50">
        <v>45162</v>
      </c>
    </row>
    <row r="41" spans="1:24" x14ac:dyDescent="0.35">
      <c r="J41" s="45"/>
    </row>
    <row r="42" spans="1:24" x14ac:dyDescent="0.35">
      <c r="J42" s="45"/>
    </row>
    <row r="43" spans="1:24" x14ac:dyDescent="0.35">
      <c r="J43" s="45"/>
    </row>
    <row r="44" spans="1:24" x14ac:dyDescent="0.35">
      <c r="J44" s="45"/>
    </row>
    <row r="45" spans="1:24" x14ac:dyDescent="0.35">
      <c r="J45" s="45"/>
    </row>
    <row r="46" spans="1:24" x14ac:dyDescent="0.35">
      <c r="J46" s="45"/>
    </row>
    <row r="47" spans="1:24" x14ac:dyDescent="0.35">
      <c r="J47" s="45"/>
    </row>
    <row r="48" spans="1:24" x14ac:dyDescent="0.35">
      <c r="J48" s="45"/>
    </row>
    <row r="49" spans="10:10" x14ac:dyDescent="0.35">
      <c r="J49" s="45"/>
    </row>
    <row r="50" spans="10:10" x14ac:dyDescent="0.35">
      <c r="J50" s="45"/>
    </row>
    <row r="51" spans="10:10" x14ac:dyDescent="0.35">
      <c r="J51" s="45"/>
    </row>
    <row r="52" spans="10:10" x14ac:dyDescent="0.35">
      <c r="J52" s="45"/>
    </row>
    <row r="53" spans="10:10" x14ac:dyDescent="0.35">
      <c r="J53" s="45"/>
    </row>
    <row r="54" spans="10:10" x14ac:dyDescent="0.35">
      <c r="J54" s="45"/>
    </row>
    <row r="55" spans="10:10" x14ac:dyDescent="0.35">
      <c r="J55" s="45"/>
    </row>
    <row r="56" spans="10:10" x14ac:dyDescent="0.35">
      <c r="J56" s="45"/>
    </row>
    <row r="57" spans="10:10" x14ac:dyDescent="0.35">
      <c r="J57" s="45"/>
    </row>
    <row r="58" spans="10:10" x14ac:dyDescent="0.35">
      <c r="J58" s="45"/>
    </row>
    <row r="59" spans="10:10" x14ac:dyDescent="0.35">
      <c r="J59" s="45"/>
    </row>
    <row r="60" spans="10:10" x14ac:dyDescent="0.35">
      <c r="J60" s="45"/>
    </row>
    <row r="61" spans="10:10" x14ac:dyDescent="0.35">
      <c r="J61" s="45"/>
    </row>
    <row r="62" spans="10:10" x14ac:dyDescent="0.35">
      <c r="J62" s="45"/>
    </row>
    <row r="63" spans="10:10" x14ac:dyDescent="0.35">
      <c r="J63" s="45"/>
    </row>
    <row r="64" spans="10:10" x14ac:dyDescent="0.35">
      <c r="J64" s="45"/>
    </row>
    <row r="65" spans="10:10" x14ac:dyDescent="0.35">
      <c r="J65" s="45"/>
    </row>
    <row r="66" spans="10:10" x14ac:dyDescent="0.35">
      <c r="J66" s="45"/>
    </row>
    <row r="67" spans="10:10" x14ac:dyDescent="0.35">
      <c r="J67" s="45"/>
    </row>
    <row r="68" spans="10:10" x14ac:dyDescent="0.35">
      <c r="J68" s="45"/>
    </row>
    <row r="69" spans="10:10" x14ac:dyDescent="0.35">
      <c r="J69" s="45"/>
    </row>
    <row r="70" spans="10:10" x14ac:dyDescent="0.35">
      <c r="J70" s="45"/>
    </row>
    <row r="71" spans="10:10" x14ac:dyDescent="0.35">
      <c r="J71" s="45"/>
    </row>
    <row r="72" spans="10:10" x14ac:dyDescent="0.35">
      <c r="J72" s="45"/>
    </row>
    <row r="73" spans="10:10" x14ac:dyDescent="0.35">
      <c r="J73" s="45"/>
    </row>
    <row r="74" spans="10:10" x14ac:dyDescent="0.35">
      <c r="J74" s="45"/>
    </row>
    <row r="75" spans="10:10" x14ac:dyDescent="0.35">
      <c r="J75" s="45"/>
    </row>
    <row r="76" spans="10:10" x14ac:dyDescent="0.35">
      <c r="J76" s="45"/>
    </row>
    <row r="77" spans="10:10" x14ac:dyDescent="0.35">
      <c r="J77" s="45"/>
    </row>
    <row r="78" spans="10:10" x14ac:dyDescent="0.35">
      <c r="J78" s="45"/>
    </row>
    <row r="79" spans="10:10" x14ac:dyDescent="0.35">
      <c r="J79" s="45"/>
    </row>
    <row r="80" spans="10:10" x14ac:dyDescent="0.35">
      <c r="J80" s="45"/>
    </row>
    <row r="81" spans="10:10" x14ac:dyDescent="0.35">
      <c r="J81" s="45"/>
    </row>
    <row r="82" spans="10:10" x14ac:dyDescent="0.35">
      <c r="J82" s="45"/>
    </row>
    <row r="83" spans="10:10" x14ac:dyDescent="0.35">
      <c r="J83" s="45"/>
    </row>
    <row r="84" spans="10:10" x14ac:dyDescent="0.35">
      <c r="J84" s="45"/>
    </row>
    <row r="85" spans="10:10" x14ac:dyDescent="0.35">
      <c r="J85" s="45"/>
    </row>
    <row r="86" spans="10:10" x14ac:dyDescent="0.35">
      <c r="J86" s="45"/>
    </row>
    <row r="87" spans="10:10" x14ac:dyDescent="0.35">
      <c r="J87" s="45"/>
    </row>
    <row r="88" spans="10:10" x14ac:dyDescent="0.35">
      <c r="J88" s="45"/>
    </row>
    <row r="89" spans="10:10" x14ac:dyDescent="0.35">
      <c r="J89" s="45"/>
    </row>
    <row r="90" spans="10:10" x14ac:dyDescent="0.35">
      <c r="J90" s="45"/>
    </row>
    <row r="91" spans="10:10" x14ac:dyDescent="0.35">
      <c r="J91" s="45"/>
    </row>
    <row r="92" spans="10:10" x14ac:dyDescent="0.35">
      <c r="J92" s="45"/>
    </row>
    <row r="93" spans="10:10" x14ac:dyDescent="0.35">
      <c r="J93" s="45"/>
    </row>
    <row r="94" spans="10:10" x14ac:dyDescent="0.35">
      <c r="J94" s="45"/>
    </row>
    <row r="95" spans="10:10" x14ac:dyDescent="0.35">
      <c r="J95" s="45"/>
    </row>
    <row r="96" spans="10:10" x14ac:dyDescent="0.35">
      <c r="J96" s="45"/>
    </row>
    <row r="97" spans="10:10" x14ac:dyDescent="0.35">
      <c r="J97" s="45"/>
    </row>
    <row r="98" spans="10:10" x14ac:dyDescent="0.35">
      <c r="J98" s="45"/>
    </row>
    <row r="99" spans="10:10" x14ac:dyDescent="0.35">
      <c r="J99" s="45"/>
    </row>
    <row r="100" spans="10:10" x14ac:dyDescent="0.35">
      <c r="J100" s="45"/>
    </row>
    <row r="101" spans="10:10" x14ac:dyDescent="0.35">
      <c r="J101" s="45"/>
    </row>
    <row r="102" spans="10:10" x14ac:dyDescent="0.35">
      <c r="J102" s="45"/>
    </row>
    <row r="103" spans="10:10" x14ac:dyDescent="0.35">
      <c r="J103" s="45"/>
    </row>
    <row r="104" spans="10:10" x14ac:dyDescent="0.35">
      <c r="J104" s="45"/>
    </row>
    <row r="105" spans="10:10" x14ac:dyDescent="0.35">
      <c r="J105" s="45"/>
    </row>
    <row r="106" spans="10:10" x14ac:dyDescent="0.35">
      <c r="J106" s="45"/>
    </row>
    <row r="107" spans="10:10" x14ac:dyDescent="0.35">
      <c r="J107" s="45"/>
    </row>
    <row r="108" spans="10:10" x14ac:dyDescent="0.35">
      <c r="J108" s="45"/>
    </row>
    <row r="109" spans="10:10" x14ac:dyDescent="0.35">
      <c r="J109" s="45"/>
    </row>
    <row r="110" spans="10:10" x14ac:dyDescent="0.35">
      <c r="J110" s="45"/>
    </row>
    <row r="111" spans="10:10" x14ac:dyDescent="0.35">
      <c r="J111" s="45"/>
    </row>
    <row r="112" spans="10:10" x14ac:dyDescent="0.35">
      <c r="J112" s="45"/>
    </row>
    <row r="113" spans="10:10" x14ac:dyDescent="0.35">
      <c r="J113" s="45"/>
    </row>
    <row r="114" spans="10:10" x14ac:dyDescent="0.35">
      <c r="J114" s="45"/>
    </row>
    <row r="115" spans="10:10" x14ac:dyDescent="0.35">
      <c r="J115" s="45"/>
    </row>
    <row r="116" spans="10:10" x14ac:dyDescent="0.35">
      <c r="J116" s="45"/>
    </row>
    <row r="117" spans="10:10" x14ac:dyDescent="0.35">
      <c r="J117" s="45"/>
    </row>
    <row r="118" spans="10:10" x14ac:dyDescent="0.35">
      <c r="J118" s="45"/>
    </row>
    <row r="119" spans="10:10" x14ac:dyDescent="0.35">
      <c r="J119" s="45"/>
    </row>
    <row r="120" spans="10:10" x14ac:dyDescent="0.35">
      <c r="J120" s="45"/>
    </row>
    <row r="121" spans="10:10" x14ac:dyDescent="0.35">
      <c r="J121" s="45"/>
    </row>
    <row r="122" spans="10:10" x14ac:dyDescent="0.35">
      <c r="J122" s="45"/>
    </row>
    <row r="123" spans="10:10" x14ac:dyDescent="0.35">
      <c r="J123" s="45"/>
    </row>
    <row r="124" spans="10:10" x14ac:dyDescent="0.35">
      <c r="J124" s="45"/>
    </row>
    <row r="125" spans="10:10" x14ac:dyDescent="0.35">
      <c r="J125" s="45"/>
    </row>
    <row r="126" spans="10:10" x14ac:dyDescent="0.35">
      <c r="J126" s="45"/>
    </row>
    <row r="127" spans="10:10" x14ac:dyDescent="0.35">
      <c r="J127" s="45"/>
    </row>
    <row r="128" spans="10:10" x14ac:dyDescent="0.35">
      <c r="J128" s="45"/>
    </row>
    <row r="129" spans="10:10" x14ac:dyDescent="0.35">
      <c r="J129" s="45"/>
    </row>
    <row r="130" spans="10:10" x14ac:dyDescent="0.35">
      <c r="J130" s="45"/>
    </row>
    <row r="131" spans="10:10" x14ac:dyDescent="0.35">
      <c r="J131" s="45"/>
    </row>
    <row r="132" spans="10:10" x14ac:dyDescent="0.35">
      <c r="J132" s="45"/>
    </row>
    <row r="133" spans="10:10" x14ac:dyDescent="0.35">
      <c r="J133" s="45"/>
    </row>
    <row r="134" spans="10:10" x14ac:dyDescent="0.35">
      <c r="J134" s="45"/>
    </row>
    <row r="135" spans="10:10" x14ac:dyDescent="0.35">
      <c r="J135" s="45"/>
    </row>
    <row r="136" spans="10:10" x14ac:dyDescent="0.35">
      <c r="J136" s="45"/>
    </row>
    <row r="137" spans="10:10" x14ac:dyDescent="0.35">
      <c r="J137" s="45"/>
    </row>
    <row r="138" spans="10:10" x14ac:dyDescent="0.35">
      <c r="J138" s="45"/>
    </row>
    <row r="139" spans="10:10" x14ac:dyDescent="0.35">
      <c r="J139" s="45"/>
    </row>
    <row r="140" spans="10:10" x14ac:dyDescent="0.35">
      <c r="J140" s="45"/>
    </row>
    <row r="141" spans="10:10" x14ac:dyDescent="0.35">
      <c r="J141" s="45"/>
    </row>
    <row r="142" spans="10:10" x14ac:dyDescent="0.35">
      <c r="J142" s="45"/>
    </row>
    <row r="143" spans="10:10" x14ac:dyDescent="0.35">
      <c r="J143" s="45"/>
    </row>
    <row r="144" spans="10:10" x14ac:dyDescent="0.35">
      <c r="J144" s="45"/>
    </row>
    <row r="145" spans="10:10" x14ac:dyDescent="0.35">
      <c r="J145" s="45"/>
    </row>
    <row r="146" spans="10:10" x14ac:dyDescent="0.35">
      <c r="J146" s="45"/>
    </row>
    <row r="147" spans="10:10" x14ac:dyDescent="0.35">
      <c r="J147" s="45"/>
    </row>
    <row r="148" spans="10:10" x14ac:dyDescent="0.35">
      <c r="J148" s="45"/>
    </row>
    <row r="149" spans="10:10" x14ac:dyDescent="0.35">
      <c r="J149" s="45"/>
    </row>
    <row r="150" spans="10:10" x14ac:dyDescent="0.35">
      <c r="J150" s="45"/>
    </row>
    <row r="151" spans="10:10" x14ac:dyDescent="0.35">
      <c r="J151" s="45"/>
    </row>
    <row r="152" spans="10:10" x14ac:dyDescent="0.35">
      <c r="J152" s="45"/>
    </row>
    <row r="153" spans="10:10" x14ac:dyDescent="0.35">
      <c r="J153" s="45"/>
    </row>
    <row r="154" spans="10:10" x14ac:dyDescent="0.35">
      <c r="J154" s="45"/>
    </row>
    <row r="155" spans="10:10" x14ac:dyDescent="0.35">
      <c r="J155" s="45"/>
    </row>
    <row r="156" spans="10:10" x14ac:dyDescent="0.35">
      <c r="J156" s="45"/>
    </row>
    <row r="157" spans="10:10" x14ac:dyDescent="0.35">
      <c r="J157" s="45"/>
    </row>
    <row r="158" spans="10:10" x14ac:dyDescent="0.35">
      <c r="J158" s="45"/>
    </row>
    <row r="159" spans="10:10" x14ac:dyDescent="0.35">
      <c r="J159" s="45"/>
    </row>
    <row r="160" spans="10:10" x14ac:dyDescent="0.35">
      <c r="J160" s="45"/>
    </row>
    <row r="161" spans="10:10" x14ac:dyDescent="0.35">
      <c r="J161" s="45"/>
    </row>
    <row r="162" spans="10:10" x14ac:dyDescent="0.35">
      <c r="J162" s="45"/>
    </row>
    <row r="163" spans="10:10" x14ac:dyDescent="0.35">
      <c r="J163" s="45"/>
    </row>
    <row r="164" spans="10:10" x14ac:dyDescent="0.35">
      <c r="J164" s="45"/>
    </row>
    <row r="165" spans="10:10" x14ac:dyDescent="0.35">
      <c r="J165" s="45"/>
    </row>
    <row r="166" spans="10:10" x14ac:dyDescent="0.35">
      <c r="J166" s="45"/>
    </row>
    <row r="167" spans="10:10" x14ac:dyDescent="0.35">
      <c r="J167" s="45"/>
    </row>
    <row r="168" spans="10:10" x14ac:dyDescent="0.35">
      <c r="J168" s="45"/>
    </row>
    <row r="169" spans="10:10" x14ac:dyDescent="0.35">
      <c r="J169" s="45"/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7"/>
  <sheetViews>
    <sheetView topLeftCell="A6" zoomScaleNormal="100" workbookViewId="0">
      <selection activeCell="B10" sqref="B10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 t="s">
        <v>105</v>
      </c>
      <c r="E5" s="1">
        <v>10</v>
      </c>
    </row>
    <row r="6" spans="1:5" x14ac:dyDescent="0.35">
      <c r="A6" s="6">
        <v>4</v>
      </c>
      <c r="B6" s="2" t="s">
        <v>107</v>
      </c>
      <c r="C6" s="2"/>
      <c r="E6" s="1">
        <v>5</v>
      </c>
    </row>
    <row r="7" spans="1:5" x14ac:dyDescent="0.35">
      <c r="A7" s="2"/>
      <c r="B7" s="2"/>
      <c r="C7" s="2"/>
    </row>
    <row r="10" spans="1:5" x14ac:dyDescent="0.35">
      <c r="B10" s="1" t="s">
        <v>178</v>
      </c>
    </row>
    <row r="11" spans="1:5" x14ac:dyDescent="0.35">
      <c r="B11" s="1" t="s">
        <v>182</v>
      </c>
    </row>
    <row r="13" spans="1:5" x14ac:dyDescent="0.35">
      <c r="B13" s="1" t="s">
        <v>179</v>
      </c>
      <c r="E13" s="2"/>
    </row>
    <row r="14" spans="1:5" x14ac:dyDescent="0.35">
      <c r="B14" s="1" t="s">
        <v>180</v>
      </c>
      <c r="E14" s="2"/>
    </row>
    <row r="15" spans="1:5" x14ac:dyDescent="0.35">
      <c r="B15" s="1" t="s">
        <v>181</v>
      </c>
    </row>
    <row r="17" spans="2:2" x14ac:dyDescent="0.35">
      <c r="B17" s="1" t="s">
        <v>183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M37"/>
  <sheetViews>
    <sheetView topLeftCell="A5" zoomScale="58" zoomScaleNormal="58" workbookViewId="0">
      <selection activeCell="M31" sqref="M31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Dataset!G2</f>
        <v>2.7</v>
      </c>
      <c r="C6" s="11">
        <f>Dataset!N2+MIN(B6,C7:C27)</f>
        <v>10.3</v>
      </c>
      <c r="D6" s="11">
        <f>Dataset!R2</f>
        <v>4.2</v>
      </c>
      <c r="E6" s="11">
        <f>Dataset!T2</f>
        <v>8.9</v>
      </c>
      <c r="F6" s="2">
        <f>Dataset!V2</f>
        <v>4.2</v>
      </c>
    </row>
    <row r="7" spans="1:7" ht="14.5" x14ac:dyDescent="0.35">
      <c r="A7" s="7" t="s">
        <v>4</v>
      </c>
      <c r="B7" s="11">
        <f>Dataset!G3</f>
        <v>3.7</v>
      </c>
      <c r="C7" s="11">
        <f>Dataset!N3</f>
        <v>8.6</v>
      </c>
      <c r="D7" s="11">
        <f>Dataset!R3</f>
        <v>4.2</v>
      </c>
      <c r="E7" s="11">
        <f>Dataset!T3</f>
        <v>8.9</v>
      </c>
      <c r="F7" s="8">
        <f>Dataset!V3</f>
        <v>4.2</v>
      </c>
      <c r="G7" s="8"/>
    </row>
    <row r="8" spans="1:7" ht="14.5" x14ac:dyDescent="0.35">
      <c r="A8" s="7" t="s">
        <v>7</v>
      </c>
      <c r="B8" s="11">
        <f>Dataset!G4</f>
        <v>4.7</v>
      </c>
      <c r="C8" s="11">
        <f>Dataset!N4</f>
        <v>9.6</v>
      </c>
      <c r="D8" s="11">
        <f>Dataset!R4</f>
        <v>5.8</v>
      </c>
      <c r="E8" s="11">
        <f>Dataset!T4</f>
        <v>12.2</v>
      </c>
      <c r="F8" s="8">
        <f>Dataset!V4</f>
        <v>5.8</v>
      </c>
    </row>
    <row r="9" spans="1:7" ht="14.5" x14ac:dyDescent="0.35">
      <c r="A9" s="7" t="s">
        <v>8</v>
      </c>
      <c r="B9" s="11">
        <f>Dataset!G5</f>
        <v>5.7</v>
      </c>
      <c r="C9" s="11">
        <f>Dataset!N5</f>
        <v>10.6</v>
      </c>
      <c r="D9" s="11">
        <f>Dataset!R5</f>
        <v>8.1</v>
      </c>
      <c r="E9" s="11">
        <f>Dataset!T5</f>
        <v>17</v>
      </c>
      <c r="F9" s="8">
        <f>Dataset!V5</f>
        <v>8.1</v>
      </c>
    </row>
    <row r="10" spans="1:7" ht="14.5" x14ac:dyDescent="0.35">
      <c r="A10" s="7" t="s">
        <v>11</v>
      </c>
      <c r="B10" s="11">
        <f>Dataset!G6</f>
        <v>6.7</v>
      </c>
      <c r="C10" s="11">
        <f>Dataset!N6</f>
        <v>11.6</v>
      </c>
      <c r="D10" s="11">
        <f>Dataset!R6</f>
        <v>11</v>
      </c>
      <c r="E10" s="11">
        <f>Dataset!T6</f>
        <v>22.5</v>
      </c>
      <c r="F10" s="8">
        <f>Dataset!V6</f>
        <v>11</v>
      </c>
    </row>
    <row r="11" spans="1:7" ht="14.5" x14ac:dyDescent="0.35">
      <c r="A11" s="7" t="s">
        <v>12</v>
      </c>
      <c r="B11" s="11">
        <f>Dataset!G7</f>
        <v>7.7</v>
      </c>
      <c r="C11" s="11">
        <f>Dataset!N7</f>
        <v>12.6</v>
      </c>
      <c r="D11" s="11">
        <f>Dataset!R7</f>
        <v>12.8</v>
      </c>
      <c r="E11" s="11">
        <f>Dataset!T7</f>
        <v>26.1</v>
      </c>
      <c r="F11" s="8">
        <f>Dataset!V7</f>
        <v>12.8</v>
      </c>
    </row>
    <row r="12" spans="1:7" ht="14.5" x14ac:dyDescent="0.35">
      <c r="A12" s="7" t="s">
        <v>14</v>
      </c>
      <c r="B12" s="11">
        <f>Dataset!G8</f>
        <v>8.6999999999999993</v>
      </c>
      <c r="C12" s="11">
        <f>Dataset!N8</f>
        <v>13.6</v>
      </c>
      <c r="D12" s="11">
        <f>Dataset!R8</f>
        <v>16.100000000000001</v>
      </c>
      <c r="E12" s="11">
        <f>Dataset!T8</f>
        <v>32.799999999999997</v>
      </c>
      <c r="F12" s="8">
        <f>Dataset!V8</f>
        <v>16.100000000000001</v>
      </c>
    </row>
    <row r="13" spans="1:7" ht="14.5" x14ac:dyDescent="0.35">
      <c r="A13" s="7" t="s">
        <v>15</v>
      </c>
      <c r="B13" s="11">
        <f>Dataset!G9</f>
        <v>9.6999999999999993</v>
      </c>
      <c r="C13" s="11">
        <f>Dataset!N9</f>
        <v>14.6</v>
      </c>
      <c r="D13" s="11">
        <f>Dataset!R9</f>
        <v>21.3</v>
      </c>
      <c r="E13" s="11">
        <f>Dataset!T9</f>
        <v>43</v>
      </c>
      <c r="F13" s="8">
        <f>Dataset!V9</f>
        <v>21.3</v>
      </c>
    </row>
    <row r="14" spans="1:7" ht="14.5" x14ac:dyDescent="0.35">
      <c r="A14" s="7" t="s">
        <v>16</v>
      </c>
      <c r="B14" s="11">
        <f>Dataset!G10</f>
        <v>10.7</v>
      </c>
      <c r="C14" s="11">
        <f>Dataset!N10</f>
        <v>15.6</v>
      </c>
      <c r="D14" s="11">
        <f>Dataset!R10</f>
        <v>29.1</v>
      </c>
      <c r="E14" s="11">
        <f>Dataset!T10</f>
        <v>59</v>
      </c>
      <c r="F14" s="8">
        <f>Dataset!V10</f>
        <v>29.1</v>
      </c>
    </row>
    <row r="15" spans="1:7" ht="14.5" x14ac:dyDescent="0.35">
      <c r="A15" s="7" t="s">
        <v>18</v>
      </c>
      <c r="B15" s="11">
        <f>Dataset!G11</f>
        <v>11.7</v>
      </c>
      <c r="C15" s="11">
        <f>Dataset!N11</f>
        <v>16.600000000000001</v>
      </c>
      <c r="D15" s="11">
        <f>Dataset!R11</f>
        <v>33.799999999999997</v>
      </c>
      <c r="E15" s="11">
        <f>Dataset!T11</f>
        <v>67.900000000000006</v>
      </c>
      <c r="F15" s="8">
        <f>Dataset!V11</f>
        <v>33.799999999999997</v>
      </c>
    </row>
    <row r="16" spans="1:7" ht="14.5" x14ac:dyDescent="0.35">
      <c r="A16" s="7" t="s">
        <v>20</v>
      </c>
      <c r="B16" s="11">
        <f>Dataset!G12</f>
        <v>12.7</v>
      </c>
      <c r="C16" s="11">
        <f>Dataset!N12</f>
        <v>17.600000000000001</v>
      </c>
      <c r="D16" s="11">
        <f>Dataset!R12</f>
        <v>0</v>
      </c>
      <c r="E16" s="11">
        <f>Dataset!T12</f>
        <v>0</v>
      </c>
      <c r="F16" s="8">
        <f>Dataset!V12</f>
        <v>0</v>
      </c>
    </row>
    <row r="17" spans="1:13" ht="14.5" x14ac:dyDescent="0.35">
      <c r="A17" s="7" t="s">
        <v>22</v>
      </c>
      <c r="B17" s="11">
        <f>Dataset!G13</f>
        <v>13.7</v>
      </c>
      <c r="C17" s="11">
        <f>Dataset!N13</f>
        <v>18.600000000000001</v>
      </c>
      <c r="D17" s="11">
        <f>Dataset!R13</f>
        <v>40.1</v>
      </c>
      <c r="E17" s="11">
        <f>Dataset!T13</f>
        <v>76.599999999999994</v>
      </c>
      <c r="F17" s="8">
        <f>Dataset!V13</f>
        <v>40.1</v>
      </c>
    </row>
    <row r="18" spans="1:13" ht="14.5" x14ac:dyDescent="0.35">
      <c r="A18" s="7" t="s">
        <v>23</v>
      </c>
      <c r="B18" s="11">
        <f>Dataset!G14</f>
        <v>14.7</v>
      </c>
      <c r="C18" s="11">
        <f>Dataset!N14</f>
        <v>19.600000000000001</v>
      </c>
      <c r="D18" s="11">
        <f>Dataset!R14</f>
        <v>42.7</v>
      </c>
      <c r="E18" s="11">
        <f>Dataset!T14</f>
        <v>86.6</v>
      </c>
      <c r="F18" s="8">
        <f>Dataset!V14</f>
        <v>42.7</v>
      </c>
    </row>
    <row r="19" spans="1:13" ht="14.5" x14ac:dyDescent="0.35">
      <c r="A19" s="7" t="s">
        <v>24</v>
      </c>
      <c r="B19" s="11">
        <f>Dataset!G15</f>
        <v>15.7</v>
      </c>
      <c r="C19" s="11">
        <f>Dataset!N15</f>
        <v>20.6</v>
      </c>
      <c r="D19" s="11">
        <f>Dataset!R15</f>
        <v>47.9</v>
      </c>
      <c r="E19" s="11">
        <f>Dataset!T15</f>
        <v>96.8</v>
      </c>
      <c r="F19" s="8">
        <f>Dataset!V15</f>
        <v>47.9</v>
      </c>
    </row>
    <row r="20" spans="1:13" ht="14.5" x14ac:dyDescent="0.35">
      <c r="A20" s="7" t="s">
        <v>28</v>
      </c>
      <c r="B20" s="11">
        <f>Dataset!G16</f>
        <v>16.7</v>
      </c>
      <c r="C20" s="11">
        <f>Dataset!N16</f>
        <v>21.6</v>
      </c>
      <c r="D20" s="11">
        <f>Dataset!R16</f>
        <v>50.1</v>
      </c>
      <c r="E20" s="11">
        <f>Dataset!T16</f>
        <v>101.3</v>
      </c>
      <c r="F20" s="8">
        <f>Dataset!V16</f>
        <v>50.1</v>
      </c>
    </row>
    <row r="21" spans="1:13" ht="14.5" x14ac:dyDescent="0.35">
      <c r="A21" s="7" t="s">
        <v>57</v>
      </c>
      <c r="B21" s="11">
        <f>Dataset!G17</f>
        <v>17.7</v>
      </c>
      <c r="C21" s="11">
        <f>Dataset!N17</f>
        <v>22.6</v>
      </c>
      <c r="D21" s="11">
        <f>Dataset!R17</f>
        <v>52.3</v>
      </c>
      <c r="E21" s="11">
        <f>Dataset!T17</f>
        <v>106.1</v>
      </c>
      <c r="F21" s="8">
        <f>Dataset!V17</f>
        <v>52.3</v>
      </c>
    </row>
    <row r="22" spans="1:13" ht="14.5" x14ac:dyDescent="0.35">
      <c r="A22" s="7" t="s">
        <v>58</v>
      </c>
      <c r="B22" s="11">
        <f>Dataset!G18</f>
        <v>18.7</v>
      </c>
      <c r="C22" s="11">
        <f>Dataset!N18</f>
        <v>23.6</v>
      </c>
      <c r="D22" s="11">
        <f>Dataset!R18</f>
        <v>53.7</v>
      </c>
      <c r="E22" s="11">
        <f>Dataset!T18</f>
        <v>108.8</v>
      </c>
      <c r="F22" s="8">
        <f>Dataset!V18</f>
        <v>53.7</v>
      </c>
    </row>
    <row r="23" spans="1:13" ht="14.5" x14ac:dyDescent="0.35">
      <c r="A23" s="7" t="s">
        <v>31</v>
      </c>
      <c r="B23" s="11">
        <f>Dataset!G19</f>
        <v>19.7</v>
      </c>
      <c r="C23" s="11">
        <f>Dataset!N19</f>
        <v>24.6</v>
      </c>
      <c r="D23" s="11">
        <f>Dataset!R19</f>
        <v>57</v>
      </c>
      <c r="E23" s="11">
        <f>Dataset!T19</f>
        <v>115.1</v>
      </c>
      <c r="F23" s="8">
        <f>Dataset!V19</f>
        <v>57</v>
      </c>
    </row>
    <row r="24" spans="1:13" ht="14.5" x14ac:dyDescent="0.35">
      <c r="A24" s="7" t="s">
        <v>32</v>
      </c>
      <c r="B24" s="11">
        <f>Dataset!G20</f>
        <v>20.7</v>
      </c>
      <c r="C24" s="11">
        <f>Dataset!N20</f>
        <v>25.6</v>
      </c>
      <c r="D24" s="11">
        <f>Dataset!R20</f>
        <v>61.4</v>
      </c>
      <c r="E24" s="11">
        <f>Dataset!T20</f>
        <v>124.4</v>
      </c>
      <c r="F24" s="8">
        <f>Dataset!V20</f>
        <v>61.4</v>
      </c>
    </row>
    <row r="25" spans="1:13" ht="14.5" x14ac:dyDescent="0.35">
      <c r="A25" s="7" t="s">
        <v>34</v>
      </c>
      <c r="B25" s="11">
        <f>Dataset!G21</f>
        <v>21.7</v>
      </c>
      <c r="C25" s="11">
        <f>Dataset!N21</f>
        <v>26.6</v>
      </c>
      <c r="D25" s="11">
        <f>Dataset!R21</f>
        <v>63.6</v>
      </c>
      <c r="E25" s="11">
        <f>Dataset!T21</f>
        <v>128.6</v>
      </c>
      <c r="F25" s="8">
        <f>Dataset!V21</f>
        <v>63.6</v>
      </c>
      <c r="K25" s="54"/>
      <c r="L25" s="54"/>
      <c r="M25" s="54"/>
    </row>
    <row r="26" spans="1:13" ht="14.5" x14ac:dyDescent="0.35">
      <c r="A26" s="7" t="s">
        <v>37</v>
      </c>
      <c r="B26" s="11">
        <f>Dataset!G22</f>
        <v>22.7</v>
      </c>
      <c r="C26" s="11">
        <f>Dataset!N22</f>
        <v>27.6</v>
      </c>
      <c r="D26" s="11">
        <f>Dataset!R22</f>
        <v>65.900000000000006</v>
      </c>
      <c r="E26" s="11">
        <f>Dataset!T22</f>
        <v>133.4</v>
      </c>
      <c r="F26" s="8">
        <f>Dataset!V22</f>
        <v>65.900000000000006</v>
      </c>
    </row>
    <row r="27" spans="1:13" ht="14.5" x14ac:dyDescent="0.35">
      <c r="A27" s="7" t="s">
        <v>39</v>
      </c>
      <c r="B27" s="11">
        <f>Dataset!G23</f>
        <v>23.7</v>
      </c>
      <c r="C27" s="11">
        <f>Dataset!N23</f>
        <v>28.6</v>
      </c>
      <c r="D27" s="11">
        <f>Dataset!R23</f>
        <v>68.7</v>
      </c>
      <c r="E27" s="11">
        <f>Dataset!T23</f>
        <v>138.80000000000001</v>
      </c>
      <c r="F27" s="8">
        <f>Dataset!V23</f>
        <v>68.7</v>
      </c>
    </row>
    <row r="28" spans="1:13" ht="14.5" x14ac:dyDescent="0.35">
      <c r="A28" s="18" t="s">
        <v>82</v>
      </c>
      <c r="B28" s="30">
        <f>MIN(B6:B27)</f>
        <v>2.7</v>
      </c>
      <c r="C28" s="30">
        <f>MIN(C6:C27)</f>
        <v>8.6</v>
      </c>
      <c r="D28" s="30">
        <v>0</v>
      </c>
      <c r="E28" s="30">
        <v>0</v>
      </c>
      <c r="F28" s="30">
        <v>0</v>
      </c>
    </row>
    <row r="29" spans="1:13" ht="14.5" x14ac:dyDescent="0.35">
      <c r="A29" s="18" t="s">
        <v>83</v>
      </c>
      <c r="B29" s="30">
        <f>MAX(B6:B27)</f>
        <v>23.7</v>
      </c>
      <c r="C29" s="30">
        <f>MAX(C6:C27)</f>
        <v>28.6</v>
      </c>
      <c r="D29" s="30">
        <f>MAX(D6:D27)</f>
        <v>68.7</v>
      </c>
      <c r="E29" s="30">
        <f>MAX(E6:E27)</f>
        <v>138.80000000000001</v>
      </c>
      <c r="F29" s="30">
        <f>MAX(F6:F27)</f>
        <v>68.7</v>
      </c>
    </row>
    <row r="30" spans="1:13" ht="14.5" x14ac:dyDescent="0.35">
      <c r="A30" s="18" t="s">
        <v>84</v>
      </c>
      <c r="B30" s="52">
        <v>18.222000000000001</v>
      </c>
      <c r="C30" s="30">
        <f>AVERAGE(C6:C27)</f>
        <v>18.222727272727276</v>
      </c>
      <c r="D30" s="30">
        <f>AVERAGE(D6:D27)</f>
        <v>34.081818181818186</v>
      </c>
      <c r="E30" s="30">
        <f>AVERAGE(E6:E27)</f>
        <v>68.854545454545459</v>
      </c>
      <c r="F30" s="30">
        <f>AVERAGE(F6:F27)</f>
        <v>34.081818181818186</v>
      </c>
    </row>
    <row r="31" spans="1:13" x14ac:dyDescent="0.3">
      <c r="B31" s="2" t="s">
        <v>184</v>
      </c>
    </row>
    <row r="37" spans="3:3" x14ac:dyDescent="0.3">
      <c r="C37" s="53"/>
    </row>
  </sheetData>
  <mergeCells count="1">
    <mergeCell ref="K25:M2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8" zoomScaleNormal="100" workbookViewId="0">
      <selection activeCell="G26" sqref="G2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/>
    </row>
    <row r="6" spans="1:10" ht="18.5" x14ac:dyDescent="0.45">
      <c r="A6" s="42" t="s">
        <v>153</v>
      </c>
      <c r="B6" s="39"/>
    </row>
    <row r="7" spans="1:10" ht="18.5" x14ac:dyDescent="0.45">
      <c r="A7" s="42"/>
      <c r="B7" s="39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9" t="s">
        <v>120</v>
      </c>
      <c r="B54" s="12">
        <v>21016</v>
      </c>
      <c r="C54" s="1" t="s">
        <v>5</v>
      </c>
      <c r="D54" s="11">
        <v>0</v>
      </c>
      <c r="E54" s="1" t="s">
        <v>6</v>
      </c>
      <c r="F54" s="1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3" zoomScaleNormal="100" workbookViewId="0"/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167</v>
      </c>
    </row>
    <row r="2" spans="1:3" ht="18.5" x14ac:dyDescent="0.45">
      <c r="B2" s="39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/>
    </row>
    <row r="7" spans="1:3" ht="14.5" x14ac:dyDescent="0.35">
      <c r="A7" s="3" t="s">
        <v>153</v>
      </c>
      <c r="B7" s="1"/>
    </row>
    <row r="10" spans="1:3" ht="23.5" x14ac:dyDescent="0.55000000000000004">
      <c r="A10" s="17" t="s">
        <v>162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 t="e">
        <v>#N/A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 t="e">
        <v>#N/A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154</v>
      </c>
      <c r="C17" s="16">
        <v>150</v>
      </c>
    </row>
    <row r="18" spans="1:3" ht="14.5" x14ac:dyDescent="0.35">
      <c r="A18" s="31">
        <v>44933</v>
      </c>
      <c r="B18" s="16" t="s">
        <v>155</v>
      </c>
      <c r="C18" s="16">
        <v>80</v>
      </c>
    </row>
    <row r="19" spans="1:3" ht="14.5" x14ac:dyDescent="0.35">
      <c r="A19" s="31">
        <v>44934</v>
      </c>
      <c r="B19" s="16" t="s">
        <v>156</v>
      </c>
      <c r="C19" s="16" t="e">
        <v>#N/A</v>
      </c>
    </row>
    <row r="20" spans="1:3" ht="14.5" x14ac:dyDescent="0.35">
      <c r="A20" s="31">
        <v>44935</v>
      </c>
      <c r="B20" s="16" t="s">
        <v>157</v>
      </c>
      <c r="C20" s="16">
        <v>30</v>
      </c>
    </row>
    <row r="21" spans="1:3" ht="14.5" x14ac:dyDescent="0.35">
      <c r="A21" s="31">
        <v>44936</v>
      </c>
      <c r="B21" s="16" t="s">
        <v>158</v>
      </c>
      <c r="C21" s="16" t="e">
        <v>#N/A</v>
      </c>
    </row>
    <row r="22" spans="1:3" ht="14.5" x14ac:dyDescent="0.35">
      <c r="B22" s="16" t="s">
        <v>159</v>
      </c>
      <c r="C22" s="2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3" zoomScale="69" zoomScaleNormal="100" workbookViewId="0">
      <selection activeCell="K25" sqref="K25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</row>
    <row r="5" spans="1:14" ht="18.5" x14ac:dyDescent="0.45">
      <c r="A5" s="42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/>
      <c r="G23" s="51" t="e">
        <f>VLOOKUP(A2, [1]Table_B!$A$2:$B$7, 2, FALSE)</f>
        <v>#N/A</v>
      </c>
      <c r="H23" s="51"/>
      <c r="I23" s="51"/>
      <c r="J23" s="51"/>
      <c r="K23" s="51"/>
      <c r="L23" s="51"/>
    </row>
    <row r="24" spans="1:14" ht="14.5" x14ac:dyDescent="0.35">
      <c r="A24" s="7">
        <v>10100</v>
      </c>
      <c r="B24" s="11">
        <v>10104</v>
      </c>
      <c r="C24" s="43"/>
    </row>
    <row r="25" spans="1:14" ht="14.5" x14ac:dyDescent="0.35">
      <c r="A25" s="7">
        <v>10108</v>
      </c>
      <c r="B25" s="11">
        <v>10102</v>
      </c>
      <c r="C25" s="43"/>
    </row>
    <row r="26" spans="1:14" ht="14.5" x14ac:dyDescent="0.35">
      <c r="A26" s="7">
        <v>10100</v>
      </c>
      <c r="B26" s="11">
        <v>10106</v>
      </c>
      <c r="C26" s="43"/>
    </row>
    <row r="27" spans="1:14" ht="14.5" x14ac:dyDescent="0.35">
      <c r="A27" s="7">
        <v>10108</v>
      </c>
      <c r="B27" s="11">
        <v>10110</v>
      </c>
      <c r="C27" s="43"/>
    </row>
    <row r="28" spans="1:14" ht="14.5" x14ac:dyDescent="0.35">
      <c r="A28" s="7">
        <v>10102</v>
      </c>
      <c r="B28" s="11">
        <v>10104</v>
      </c>
      <c r="C28" s="43"/>
    </row>
    <row r="29" spans="1:14" ht="14.5" x14ac:dyDescent="0.35">
      <c r="A29" s="7">
        <v>10106</v>
      </c>
      <c r="B29" s="11">
        <v>10108</v>
      </c>
      <c r="C29" s="43"/>
    </row>
    <row r="30" spans="1:14" ht="14.5" x14ac:dyDescent="0.35">
      <c r="A30" s="7">
        <v>10102</v>
      </c>
      <c r="B30" s="11">
        <v>10106</v>
      </c>
      <c r="C30" s="43"/>
    </row>
    <row r="31" spans="1:14" ht="14.5" x14ac:dyDescent="0.35">
      <c r="A31" s="7">
        <v>10110</v>
      </c>
      <c r="B31" s="11">
        <v>10114</v>
      </c>
      <c r="C31" s="43"/>
    </row>
    <row r="32" spans="1:14" ht="14.5" x14ac:dyDescent="0.35">
      <c r="A32" s="7">
        <v>10104</v>
      </c>
      <c r="B32" s="11">
        <v>10106</v>
      </c>
      <c r="C32" s="43"/>
    </row>
    <row r="33" spans="1:3" ht="14.5" x14ac:dyDescent="0.35">
      <c r="A33" s="7">
        <v>10110</v>
      </c>
      <c r="B33" s="11">
        <v>10112</v>
      </c>
      <c r="C33" s="43"/>
    </row>
    <row r="34" spans="1:3" ht="14.5" x14ac:dyDescent="0.35">
      <c r="A34" s="7">
        <v>10100</v>
      </c>
      <c r="B34" s="11">
        <v>10114</v>
      </c>
      <c r="C34" s="43"/>
    </row>
    <row r="35" spans="1:3" ht="14.5" x14ac:dyDescent="0.35">
      <c r="A35" s="9">
        <v>10112</v>
      </c>
      <c r="B35" s="12">
        <v>10116</v>
      </c>
      <c r="C35" s="44"/>
    </row>
  </sheetData>
  <mergeCells count="1">
    <mergeCell ref="G23:L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Harinath R</cp:lastModifiedBy>
  <dcterms:created xsi:type="dcterms:W3CDTF">2015-02-10T17:33:11Z</dcterms:created>
  <dcterms:modified xsi:type="dcterms:W3CDTF">2024-10-24T16:33:23Z</dcterms:modified>
</cp:coreProperties>
</file>